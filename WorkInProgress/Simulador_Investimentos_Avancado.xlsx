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volucao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Patrimonial</a:t>
            </a:r>
          </a:p>
        </rich>
      </tx>
    </title>
    <plotArea>
      <lineChart>
        <grouping val="standard"/>
        <ser>
          <idx val="0"/>
          <order val="0"/>
          <tx>
            <strRef>
              <f>'Evolucao'!B1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'Evolucao'!$A$2:$A$31</f>
            </numRef>
          </cat>
          <val>
            <numRef>
              <f>'Evolucao'!$B$2:$B$31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Comparativo de Cenários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'Cenarios'!C1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'Cenarios'!$A$2:$A$4</f>
            </numRef>
          </cat>
          <val>
            <numRef>
              <f>'Cenarios'!$C$2:$C$4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☕💣 Bellacosa Mainframe - Simulador de Investimentos</t>
        </is>
      </c>
    </row>
    <row r="3">
      <c r="A3" t="inlineStr">
        <is>
          <t>Valor Inicial</t>
        </is>
      </c>
      <c r="B3" t="n">
        <v>1000</v>
      </c>
    </row>
    <row r="4">
      <c r="A4" t="inlineStr">
        <is>
          <t>Aporte Mensal</t>
        </is>
      </c>
      <c r="B4" t="n">
        <v>500</v>
      </c>
    </row>
    <row r="5">
      <c r="A5" t="inlineStr">
        <is>
          <t>Taxa Mensal (%)</t>
        </is>
      </c>
      <c r="B5" t="n">
        <v>0.8</v>
      </c>
    </row>
    <row r="6">
      <c r="A6" t="inlineStr">
        <is>
          <t>Prazo (Anos)</t>
        </is>
      </c>
      <c r="B6" t="n">
        <v>10</v>
      </c>
    </row>
    <row r="7">
      <c r="A7" t="inlineStr">
        <is>
          <t>Dividend Yield (%)</t>
        </is>
      </c>
      <c r="B7" t="n">
        <v>0.8</v>
      </c>
    </row>
    <row r="10">
      <c r="A10" t="inlineStr">
        <is>
          <t>Meses</t>
        </is>
      </c>
      <c r="B10">
        <f>B6*12</f>
        <v/>
      </c>
    </row>
    <row r="11">
      <c r="A11" s="2" t="inlineStr">
        <is>
          <t>Total Investido</t>
        </is>
      </c>
      <c r="B11">
        <f>B4*B10+B3</f>
        <v/>
      </c>
    </row>
    <row r="12">
      <c r="A12" s="2" t="inlineStr">
        <is>
          <t>Patrimônio Futuro</t>
        </is>
      </c>
      <c r="B12">
        <f>FV(B5/100,B10,-B4,-B3,0)</f>
        <v/>
      </c>
    </row>
    <row r="13">
      <c r="A13" s="2" t="inlineStr">
        <is>
          <t>Dividendos Mensais</t>
        </is>
      </c>
      <c r="B13">
        <f>B12*(B7/100)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Patrimonio</t>
        </is>
      </c>
    </row>
    <row r="2">
      <c r="A2" t="n">
        <v>1</v>
      </c>
      <c r="B2">
        <f>FV(Dashboard!B5/100,1*12,-Dashboard!B4,-Dashboard!B3,0)</f>
        <v/>
      </c>
    </row>
    <row r="3">
      <c r="A3" t="n">
        <v>2</v>
      </c>
      <c r="B3">
        <f>FV(Dashboard!B5/100,2*12,-Dashboard!B4,-Dashboard!B3,0)</f>
        <v/>
      </c>
    </row>
    <row r="4">
      <c r="A4" t="n">
        <v>3</v>
      </c>
      <c r="B4">
        <f>FV(Dashboard!B5/100,3*12,-Dashboard!B4,-Dashboard!B3,0)</f>
        <v/>
      </c>
    </row>
    <row r="5">
      <c r="A5" t="n">
        <v>4</v>
      </c>
      <c r="B5">
        <f>FV(Dashboard!B5/100,4*12,-Dashboard!B4,-Dashboard!B3,0)</f>
        <v/>
      </c>
    </row>
    <row r="6">
      <c r="A6" t="n">
        <v>5</v>
      </c>
      <c r="B6">
        <f>FV(Dashboard!B5/100,5*12,-Dashboard!B4,-Dashboard!B3,0)</f>
        <v/>
      </c>
    </row>
    <row r="7">
      <c r="A7" t="n">
        <v>6</v>
      </c>
      <c r="B7">
        <f>FV(Dashboard!B5/100,6*12,-Dashboard!B4,-Dashboard!B3,0)</f>
        <v/>
      </c>
    </row>
    <row r="8">
      <c r="A8" t="n">
        <v>7</v>
      </c>
      <c r="B8">
        <f>FV(Dashboard!B5/100,7*12,-Dashboard!B4,-Dashboard!B3,0)</f>
        <v/>
      </c>
    </row>
    <row r="9">
      <c r="A9" t="n">
        <v>8</v>
      </c>
      <c r="B9">
        <f>FV(Dashboard!B5/100,8*12,-Dashboard!B4,-Dashboard!B3,0)</f>
        <v/>
      </c>
    </row>
    <row r="10">
      <c r="A10" t="n">
        <v>9</v>
      </c>
      <c r="B10">
        <f>FV(Dashboard!B5/100,9*12,-Dashboard!B4,-Dashboard!B3,0)</f>
        <v/>
      </c>
    </row>
    <row r="11">
      <c r="A11" t="n">
        <v>10</v>
      </c>
      <c r="B11">
        <f>FV(Dashboard!B5/100,10*12,-Dashboard!B4,-Dashboard!B3,0)</f>
        <v/>
      </c>
    </row>
    <row r="12">
      <c r="A12" t="n">
        <v>11</v>
      </c>
      <c r="B12">
        <f>FV(Dashboard!B5/100,11*12,-Dashboard!B4,-Dashboard!B3,0)</f>
        <v/>
      </c>
    </row>
    <row r="13">
      <c r="A13" t="n">
        <v>12</v>
      </c>
      <c r="B13">
        <f>FV(Dashboard!B5/100,12*12,-Dashboard!B4,-Dashboard!B3,0)</f>
        <v/>
      </c>
    </row>
    <row r="14">
      <c r="A14" t="n">
        <v>13</v>
      </c>
      <c r="B14">
        <f>FV(Dashboard!B5/100,13*12,-Dashboard!B4,-Dashboard!B3,0)</f>
        <v/>
      </c>
    </row>
    <row r="15">
      <c r="A15" t="n">
        <v>14</v>
      </c>
      <c r="B15">
        <f>FV(Dashboard!B5/100,14*12,-Dashboard!B4,-Dashboard!B3,0)</f>
        <v/>
      </c>
    </row>
    <row r="16">
      <c r="A16" t="n">
        <v>15</v>
      </c>
      <c r="B16">
        <f>FV(Dashboard!B5/100,15*12,-Dashboard!B4,-Dashboard!B3,0)</f>
        <v/>
      </c>
    </row>
    <row r="17">
      <c r="A17" t="n">
        <v>16</v>
      </c>
      <c r="B17">
        <f>FV(Dashboard!B5/100,16*12,-Dashboard!B4,-Dashboard!B3,0)</f>
        <v/>
      </c>
    </row>
    <row r="18">
      <c r="A18" t="n">
        <v>17</v>
      </c>
      <c r="B18">
        <f>FV(Dashboard!B5/100,17*12,-Dashboard!B4,-Dashboard!B3,0)</f>
        <v/>
      </c>
    </row>
    <row r="19">
      <c r="A19" t="n">
        <v>18</v>
      </c>
      <c r="B19">
        <f>FV(Dashboard!B5/100,18*12,-Dashboard!B4,-Dashboard!B3,0)</f>
        <v/>
      </c>
    </row>
    <row r="20">
      <c r="A20" t="n">
        <v>19</v>
      </c>
      <c r="B20">
        <f>FV(Dashboard!B5/100,19*12,-Dashboard!B4,-Dashboard!B3,0)</f>
        <v/>
      </c>
    </row>
    <row r="21">
      <c r="A21" t="n">
        <v>20</v>
      </c>
      <c r="B21">
        <f>FV(Dashboard!B5/100,20*12,-Dashboard!B4,-Dashboard!B3,0)</f>
        <v/>
      </c>
    </row>
    <row r="22">
      <c r="A22" t="n">
        <v>21</v>
      </c>
      <c r="B22">
        <f>FV(Dashboard!B5/100,21*12,-Dashboard!B4,-Dashboard!B3,0)</f>
        <v/>
      </c>
    </row>
    <row r="23">
      <c r="A23" t="n">
        <v>22</v>
      </c>
      <c r="B23">
        <f>FV(Dashboard!B5/100,22*12,-Dashboard!B4,-Dashboard!B3,0)</f>
        <v/>
      </c>
    </row>
    <row r="24">
      <c r="A24" t="n">
        <v>23</v>
      </c>
      <c r="B24">
        <f>FV(Dashboard!B5/100,23*12,-Dashboard!B4,-Dashboard!B3,0)</f>
        <v/>
      </c>
    </row>
    <row r="25">
      <c r="A25" t="n">
        <v>24</v>
      </c>
      <c r="B25">
        <f>FV(Dashboard!B5/100,24*12,-Dashboard!B4,-Dashboard!B3,0)</f>
        <v/>
      </c>
    </row>
    <row r="26">
      <c r="A26" t="n">
        <v>25</v>
      </c>
      <c r="B26">
        <f>FV(Dashboard!B5/100,25*12,-Dashboard!B4,-Dashboard!B3,0)</f>
        <v/>
      </c>
    </row>
    <row r="27">
      <c r="A27" t="n">
        <v>26</v>
      </c>
      <c r="B27">
        <f>FV(Dashboard!B5/100,26*12,-Dashboard!B4,-Dashboard!B3,0)</f>
        <v/>
      </c>
    </row>
    <row r="28">
      <c r="A28" t="n">
        <v>27</v>
      </c>
      <c r="B28">
        <f>FV(Dashboard!B5/100,27*12,-Dashboard!B4,-Dashboard!B3,0)</f>
        <v/>
      </c>
    </row>
    <row r="29">
      <c r="A29" t="n">
        <v>28</v>
      </c>
      <c r="B29">
        <f>FV(Dashboard!B5/100,28*12,-Dashboard!B4,-Dashboard!B3,0)</f>
        <v/>
      </c>
    </row>
    <row r="30">
      <c r="A30" t="n">
        <v>29</v>
      </c>
      <c r="B30">
        <f>FV(Dashboard!B5/100,29*12,-Dashboard!B4,-Dashboard!B3,0)</f>
        <v/>
      </c>
    </row>
    <row r="31">
      <c r="A31" t="n">
        <v>30</v>
      </c>
      <c r="B31">
        <f>FV(Dashboard!B5/100,30*12,-Dashboard!B4,-Dashboard!B3,0)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Taxa</t>
        </is>
      </c>
      <c r="C1" t="inlineStr">
        <is>
          <t>Patrimônio</t>
        </is>
      </c>
    </row>
    <row r="2">
      <c r="A2" t="inlineStr">
        <is>
          <t>Conservador</t>
        </is>
      </c>
      <c r="B2" t="n">
        <v>0.6</v>
      </c>
      <c r="C2">
        <f>FV(B2/100,120,-500,-1000,0)</f>
        <v/>
      </c>
    </row>
    <row r="3">
      <c r="A3" t="inlineStr">
        <is>
          <t>Moderado</t>
        </is>
      </c>
      <c r="B3" t="n">
        <v>0.8</v>
      </c>
      <c r="C3">
        <f>FV(B3/100,120,-500,-1000,0)</f>
        <v/>
      </c>
    </row>
    <row r="4">
      <c r="A4" t="inlineStr">
        <is>
          <t>Agressivo</t>
        </is>
      </c>
      <c r="B4" t="n">
        <v>1</v>
      </c>
      <c r="C4">
        <f>FV(B4/100,120,-500,-1000,0)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Fórmula</t>
        </is>
      </c>
    </row>
    <row r="2">
      <c r="A2" t="inlineStr">
        <is>
          <t>ROI</t>
        </is>
      </c>
      <c r="B2" t="inlineStr">
        <is>
          <t>(Patrimônio-Total Investido)/Total Investido</t>
        </is>
      </c>
    </row>
    <row r="3">
      <c r="A3" t="inlineStr">
        <is>
          <t>CAGR</t>
        </is>
      </c>
      <c r="B3" t="inlineStr">
        <is>
          <t>(VF/VI)^(1/anos)-1</t>
        </is>
      </c>
    </row>
    <row r="4">
      <c r="A4" t="inlineStr">
        <is>
          <t>Dividend Yield</t>
        </is>
      </c>
      <c r="B4" t="inlineStr">
        <is>
          <t>Dividendos/Cota</t>
        </is>
      </c>
    </row>
    <row r="5">
      <c r="A5" t="inlineStr">
        <is>
          <t>Renda Passiva</t>
        </is>
      </c>
      <c r="B5" t="inlineStr">
        <is>
          <t>Patrimônio x 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2026-06-04T19:44:49Z</dcterms:created>
  <dcterms:modified xmlns:dcterms="http://purl.org/dc/terms/" xmlns:xsi="http://www.w3.org/2001/XMLSchema-instance" xsi:type="dcterms:W3CDTF">2026-06-04T19:44:49Z</dcterms:modified>
</cp:coreProperties>
</file>